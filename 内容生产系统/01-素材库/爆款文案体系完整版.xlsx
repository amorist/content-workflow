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040" activeTab="2"/>
  </bookViews>
  <sheets>
    <sheet name="核心公式" sheetId="1" r:id="rId1"/>
    <sheet name="五大底层" sheetId="2" r:id="rId2"/>
    <sheet name="开头模板" sheetId="3" r:id="rId3"/>
    <sheet name="中段结构" sheetId="4" r:id="rId4"/>
    <sheet name="素材库" sheetId="6" r:id="rId5"/>
    <sheet name="骨架检查" sheetId="7" r:id="rId6"/>
    <sheet name="开头生成" sheetId="8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<sst xmlns="http://schemas.openxmlformats.org/spreadsheetml/2006/main" count="132" uniqueCount="113">
  <si>
    <t>模块</t>
  </si>
  <si>
    <t>内容</t>
  </si>
  <si>
    <t>爆款公式</t>
  </si>
  <si>
    <t>节点/禁忌/机会 + 人群/空间 + 动作 + 结果 + 产品载体</t>
  </si>
  <si>
    <t>链路</t>
  </si>
  <si>
    <t>节点→人群→问题→解释→动作→产品→案例→收口</t>
  </si>
  <si>
    <t>说明</t>
  </si>
  <si>
    <t>卖时机</t>
  </si>
  <si>
    <t>用时间节点制造行动理由</t>
  </si>
  <si>
    <t>卖身份</t>
  </si>
  <si>
    <t>精准人群代入</t>
  </si>
  <si>
    <t>卖解释</t>
  </si>
  <si>
    <t>重新定义问题</t>
  </si>
  <si>
    <t>卖动作</t>
  </si>
  <si>
    <t>简单可执行动作</t>
  </si>
  <si>
    <t>卖结果</t>
  </si>
  <si>
    <t>状态与未来想象</t>
  </si>
  <si>
    <t>序号</t>
  </si>
  <si>
    <t>类型</t>
  </si>
  <si>
    <t>公式</t>
  </si>
  <si>
    <t>案例1</t>
  </si>
  <si>
    <t>案例2</t>
  </si>
  <si>
    <t>案例3</t>
  </si>
  <si>
    <t>节点型</t>
  </si>
  <si>
    <t>时间+必须做</t>
  </si>
  <si>
    <t>立秋前一定要做这个动作</t>
  </si>
  <si>
    <t>三伏天千万别忽视这个细节</t>
  </si>
  <si>
    <t>新的一年先处理这个地方</t>
  </si>
  <si>
    <t>人群型</t>
  </si>
  <si>
    <t>人群+注意</t>
  </si>
  <si>
    <t>所有女生一定要注意这个细节</t>
  </si>
  <si>
    <t>做生意的女人要记住这件事</t>
  </si>
  <si>
    <t>家里有孩子的姐妹看过来</t>
  </si>
  <si>
    <t>结果型</t>
  </si>
  <si>
    <t>动作→变化</t>
  </si>
  <si>
    <t>包里放一个状态会越来越好</t>
  </si>
  <si>
    <t>出门前喷一下整个人更顺</t>
  </si>
  <si>
    <t>家里挂一个氛围就变了</t>
  </si>
  <si>
    <t>翻译型</t>
  </si>
  <si>
    <t>你以为A其实B</t>
  </si>
  <si>
    <t>你以为赚得少其实是留不住</t>
  </si>
  <si>
    <t>你以为家里乱其实是旧物问题</t>
  </si>
  <si>
    <t>你以为状态差其实是气味不对</t>
  </si>
  <si>
    <t>疑问型</t>
  </si>
  <si>
    <t>为什么+现象</t>
  </si>
  <si>
    <t>为什么你总觉得不顺</t>
  </si>
  <si>
    <t>为什么家里总是很烦躁</t>
  </si>
  <si>
    <t>为什么钱总是留不住</t>
  </si>
  <si>
    <t>教一招</t>
  </si>
  <si>
    <t>教你一招</t>
  </si>
  <si>
    <t>教你一招锁住状态</t>
  </si>
  <si>
    <t>教你一个方法让家里顺起来</t>
  </si>
  <si>
    <t>教你一个动作让整个人轻松</t>
  </si>
  <si>
    <t>案例型</t>
  </si>
  <si>
    <t>有个粉丝</t>
  </si>
  <si>
    <t>前几天有个姐姐跟我说</t>
  </si>
  <si>
    <t>有个粉丝之前状态很差</t>
  </si>
  <si>
    <t>有位大哥用了以后变化很大</t>
  </si>
  <si>
    <t>反常识</t>
  </si>
  <si>
    <t>不是A是B</t>
  </si>
  <si>
    <t>不是你不努力是方法不对</t>
  </si>
  <si>
    <t>不是赚得少是留不住</t>
  </si>
  <si>
    <t>不是护肤是气味在影响</t>
  </si>
  <si>
    <t>互动型</t>
  </si>
  <si>
    <t>先做动作</t>
  </si>
  <si>
    <t>先留两个字我再讲</t>
  </si>
  <si>
    <t>先打一句越来越好</t>
  </si>
  <si>
    <t>先把这件事记下来</t>
  </si>
  <si>
    <t>步骤</t>
  </si>
  <si>
    <t>产品出现</t>
  </si>
  <si>
    <t>这个就是我一直在用的</t>
  </si>
  <si>
    <t>这个东西你一定要备一个</t>
  </si>
  <si>
    <t>这个真的很关键</t>
  </si>
  <si>
    <t>场景</t>
  </si>
  <si>
    <t>放在包里</t>
  </si>
  <si>
    <t>挂在衣柜</t>
  </si>
  <si>
    <t>放在车里</t>
  </si>
  <si>
    <t>感受</t>
  </si>
  <si>
    <t>闻着很舒服</t>
  </si>
  <si>
    <t>整个人很轻松</t>
  </si>
  <si>
    <t>状态变得很干净</t>
  </si>
  <si>
    <t>卖点</t>
  </si>
  <si>
    <t>很方便不占地方</t>
  </si>
  <si>
    <t>味道很持久</t>
  </si>
  <si>
    <t>一贴就可以用</t>
  </si>
  <si>
    <t>案例</t>
  </si>
  <si>
    <t>很多粉丝用了反馈很好</t>
  </si>
  <si>
    <t>老粉都在回购</t>
  </si>
  <si>
    <t>用过都来报喜</t>
  </si>
  <si>
    <t>收口</t>
  </si>
  <si>
    <t>赶紧用起来</t>
  </si>
  <si>
    <t>现在就带回去</t>
  </si>
  <si>
    <t>不要等没货</t>
  </si>
  <si>
    <t>示例</t>
  </si>
  <si>
    <t>节点</t>
  </si>
  <si>
    <t>节气/换季/年初</t>
  </si>
  <si>
    <t>人群</t>
  </si>
  <si>
    <t>女生/家庭/生意</t>
  </si>
  <si>
    <t>痛点</t>
  </si>
  <si>
    <t>钱/情绪/状态</t>
  </si>
  <si>
    <t>解释</t>
  </si>
  <si>
    <t>包=米库</t>
  </si>
  <si>
    <t>动作</t>
  </si>
  <si>
    <t>放/挂/喷</t>
  </si>
  <si>
    <t>赶紧用</t>
  </si>
  <si>
    <t>检查项</t>
  </si>
  <si>
    <t>钩子</t>
  </si>
  <si>
    <t>问题</t>
  </si>
  <si>
    <t>产品</t>
  </si>
  <si>
    <t>结果</t>
  </si>
  <si>
    <t>模板1_节点人群</t>
  </si>
  <si>
    <t>模板2_疑问</t>
  </si>
  <si>
    <t>模板3_反常识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</si>
</sst>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ncy/Downloads/&#32032;&#26448;&#32452;&#21512;&#34920;_&#33258;&#21160;&#29983;&#25104;&#29190;&#2745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组合池"/>
      <sheetName val="爆款生成"/>
      <sheetName val="开头生成"/>
    </sheetNames>
    <sheetDataSet>
      <sheetData sheetId="0">
        <row r="2">
          <cell r="A2" t="str">
            <v>立秋前</v>
          </cell>
          <cell r="B2" t="str">
            <v>所有女生</v>
          </cell>
          <cell r="C2" t="str">
            <v>钱留不住</v>
          </cell>
          <cell r="D2" t="str">
            <v>包是米库</v>
          </cell>
          <cell r="E2" t="str">
            <v>把包整理一下</v>
          </cell>
          <cell r="F2" t="str">
            <v>包里</v>
          </cell>
          <cell r="G2" t="str">
            <v>状态越来越好</v>
          </cell>
        </row>
        <row r="3">
          <cell r="A3" t="str">
            <v>三伏天</v>
          </cell>
          <cell r="B3" t="str">
            <v>做生意的人</v>
          </cell>
          <cell r="C3" t="str">
            <v>状态很散</v>
          </cell>
          <cell r="D3" t="str">
            <v>味道影响状态</v>
          </cell>
          <cell r="E3" t="str">
            <v>挂一个香片</v>
          </cell>
          <cell r="F3" t="str">
            <v>衣柜</v>
          </cell>
          <cell r="G3" t="str">
            <v>米米越来越多</v>
          </cell>
        </row>
        <row r="4">
          <cell r="A4" t="str">
            <v>最近这段时间</v>
          </cell>
          <cell r="B4" t="str">
            <v>家里有孩子的</v>
          </cell>
          <cell r="C4" t="str">
            <v>家里有味道</v>
          </cell>
          <cell r="D4" t="str">
            <v>旧物拖状态</v>
          </cell>
          <cell r="E4" t="str">
            <v>把旧物清掉</v>
          </cell>
          <cell r="F4" t="str">
            <v>玄关</v>
          </cell>
          <cell r="G4" t="str">
            <v>整个人更轻松</v>
          </cell>
        </row>
        <row r="5">
          <cell r="A5" t="str">
            <v>如果你最近</v>
          </cell>
          <cell r="B5" t="str">
            <v>经常出门的人</v>
          </cell>
          <cell r="C5" t="str">
            <v>情绪容易烦躁</v>
          </cell>
          <cell r="D5" t="str">
            <v>眼睛是心灯</v>
          </cell>
          <cell r="E5" t="str">
            <v>出门前喷一下</v>
          </cell>
          <cell r="F5" t="str">
            <v>车里</v>
          </cell>
          <cell r="G5" t="str">
            <v>家里氛围变好</v>
          </cell>
        </row>
        <row r="6">
          <cell r="A6" t="str">
            <v>今年</v>
          </cell>
          <cell r="B6" t="str">
            <v>状态不太好的人</v>
          </cell>
          <cell r="C6" t="str">
            <v>眼睛干涩没神</v>
          </cell>
          <cell r="D6" t="str">
            <v>环境影响人</v>
          </cell>
          <cell r="E6" t="str">
            <v>把空间收纳好</v>
          </cell>
          <cell r="F6" t="str">
            <v>床头</v>
          </cell>
          <cell r="G6" t="str">
            <v>越来越顺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6.8" outlineLevelRow="2" outlineLevelCol="1"/>
  <cols>
    <col min="1" max="1" width="10.3076923076923" customWidth="1"/>
    <col min="2" max="2" width="59.307692307692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$A1:$XFD1048576"/>
    </sheetView>
  </sheetViews>
  <sheetFormatPr defaultColWidth="9" defaultRowHeight="16.8" outlineLevelRow="5" outlineLevelCol="1"/>
  <cols>
    <col min="1" max="1" width="8.15384615384615" customWidth="1"/>
    <col min="2" max="2" width="27.3076923076923" customWidth="1"/>
  </cols>
  <sheetData>
    <row r="1" spans="1:2">
      <c r="A1" t="s">
        <v>0</v>
      </c>
      <c r="B1" t="s">
        <v>6</v>
      </c>
    </row>
    <row r="2" spans="1:2">
      <c r="A2" t="s">
        <v>7</v>
      </c>
      <c r="B2" t="s">
        <v>8</v>
      </c>
    </row>
    <row r="3" spans="1:2">
      <c r="A3" t="s">
        <v>9</v>
      </c>
      <c r="B3" t="s">
        <v>10</v>
      </c>
    </row>
    <row r="4" spans="1:2">
      <c r="A4" t="s">
        <v>11</v>
      </c>
      <c r="B4" t="s">
        <v>12</v>
      </c>
    </row>
    <row r="5" spans="1:2">
      <c r="A5" t="s">
        <v>13</v>
      </c>
      <c r="B5" t="s">
        <v>14</v>
      </c>
    </row>
    <row r="6" spans="1:2">
      <c r="A6" t="s">
        <v>15</v>
      </c>
      <c r="B6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D13" sqref="D13"/>
    </sheetView>
  </sheetViews>
  <sheetFormatPr defaultColWidth="9" defaultRowHeight="16.8" outlineLevelCol="5"/>
  <cols>
    <col min="1" max="1" width="9" style="1"/>
    <col min="2" max="2" width="8.15384615384615" style="1" customWidth="1"/>
    <col min="3" max="3" width="15.8461538461538" style="1" customWidth="1"/>
    <col min="4" max="6" width="32.1538461538462" style="1" customWidth="1"/>
    <col min="7" max="16384" width="9" style="1"/>
  </cols>
  <sheetData>
    <row r="1" spans="1:6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>
      <c r="A2" s="1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</row>
    <row r="3" spans="1:6">
      <c r="A3" s="1">
        <v>2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</row>
    <row r="4" spans="1:6">
      <c r="A4" s="1">
        <v>3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</row>
    <row r="5" spans="1:6">
      <c r="A5" s="1">
        <v>4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</row>
    <row r="6" spans="1:6">
      <c r="A6" s="1">
        <v>5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</row>
    <row r="7" spans="1:6">
      <c r="A7" s="1">
        <v>6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</row>
    <row r="8" spans="1:6">
      <c r="A8" s="1">
        <v>7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57</v>
      </c>
    </row>
    <row r="9" spans="1:6">
      <c r="A9" s="1">
        <v>8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</row>
    <row r="10" spans="1:6">
      <c r="A10" s="1">
        <v>9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M11" sqref="M11"/>
    </sheetView>
  </sheetViews>
  <sheetFormatPr defaultColWidth="9" defaultRowHeight="16.8" outlineLevelRow="6" outlineLevelCol="3"/>
  <cols>
    <col min="1" max="1" width="10.3076923076923" customWidth="1"/>
    <col min="2" max="2" width="24.8461538461538" customWidth="1"/>
    <col min="3" max="3" width="27.3076923076923" customWidth="1"/>
    <col min="4" max="4" width="17.6153846153846" customWidth="1"/>
  </cols>
  <sheetData>
    <row r="1" spans="1:4">
      <c r="A1" t="s">
        <v>68</v>
      </c>
      <c r="B1" t="s">
        <v>20</v>
      </c>
      <c r="C1" t="s">
        <v>21</v>
      </c>
      <c r="D1" t="s">
        <v>22</v>
      </c>
    </row>
    <row r="2" spans="1:4">
      <c r="A2" t="s">
        <v>69</v>
      </c>
      <c r="B2" t="s">
        <v>70</v>
      </c>
      <c r="C2" t="s">
        <v>71</v>
      </c>
      <c r="D2" t="s">
        <v>72</v>
      </c>
    </row>
    <row r="3" spans="1:4">
      <c r="A3" t="s">
        <v>73</v>
      </c>
      <c r="B3" t="s">
        <v>74</v>
      </c>
      <c r="C3" t="s">
        <v>75</v>
      </c>
      <c r="D3" t="s">
        <v>76</v>
      </c>
    </row>
    <row r="4" spans="1:4">
      <c r="A4" t="s">
        <v>77</v>
      </c>
      <c r="B4" t="s">
        <v>78</v>
      </c>
      <c r="C4" t="s">
        <v>79</v>
      </c>
      <c r="D4" t="s">
        <v>80</v>
      </c>
    </row>
    <row r="5" spans="1:4">
      <c r="A5" t="s">
        <v>81</v>
      </c>
      <c r="B5" t="s">
        <v>82</v>
      </c>
      <c r="C5" t="s">
        <v>83</v>
      </c>
      <c r="D5" t="s">
        <v>84</v>
      </c>
    </row>
    <row r="6" spans="1:4">
      <c r="A6" t="s">
        <v>85</v>
      </c>
      <c r="B6" t="s">
        <v>86</v>
      </c>
      <c r="C6" t="s">
        <v>87</v>
      </c>
      <c r="D6" t="s">
        <v>88</v>
      </c>
    </row>
    <row r="7" spans="1:4">
      <c r="A7" t="s">
        <v>89</v>
      </c>
      <c r="B7" t="s">
        <v>90</v>
      </c>
      <c r="C7" t="s">
        <v>91</v>
      </c>
      <c r="D7" t="s">
        <v>92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1" sqref="A11"/>
    </sheetView>
  </sheetViews>
  <sheetFormatPr defaultColWidth="9" defaultRowHeight="16.8" outlineLevelRow="6" outlineLevelCol="1"/>
  <cols>
    <col min="2" max="2" width="17.6153846153846" customWidth="1"/>
  </cols>
  <sheetData>
    <row r="1" spans="1:2">
      <c r="A1" t="s">
        <v>18</v>
      </c>
      <c r="B1" t="s">
        <v>93</v>
      </c>
    </row>
    <row r="2" spans="1:2">
      <c r="A2" t="s">
        <v>94</v>
      </c>
      <c r="B2" t="s">
        <v>95</v>
      </c>
    </row>
    <row r="3" spans="1:2">
      <c r="A3" t="s">
        <v>96</v>
      </c>
      <c r="B3" t="s">
        <v>97</v>
      </c>
    </row>
    <row r="4" spans="1:2">
      <c r="A4" t="s">
        <v>98</v>
      </c>
      <c r="B4" t="s">
        <v>99</v>
      </c>
    </row>
    <row r="5" spans="1:2">
      <c r="A5" t="s">
        <v>100</v>
      </c>
      <c r="B5" t="s">
        <v>101</v>
      </c>
    </row>
    <row r="6" spans="1:2">
      <c r="A6" t="s">
        <v>102</v>
      </c>
      <c r="B6" t="s">
        <v>103</v>
      </c>
    </row>
    <row r="7" spans="1:2">
      <c r="A7" t="s">
        <v>89</v>
      </c>
      <c r="B7" t="s">
        <v>104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B2" sqref="B2"/>
    </sheetView>
  </sheetViews>
  <sheetFormatPr defaultColWidth="9" defaultRowHeight="16.8"/>
  <sheetData>
    <row r="1" spans="1:1">
      <c r="A1" t="s">
        <v>105</v>
      </c>
    </row>
    <row r="2" spans="1:1">
      <c r="A2" t="s">
        <v>106</v>
      </c>
    </row>
    <row r="3" spans="1:1">
      <c r="A3" t="s">
        <v>96</v>
      </c>
    </row>
    <row r="4" spans="1:1">
      <c r="A4" t="s">
        <v>107</v>
      </c>
    </row>
    <row r="5" spans="1:1">
      <c r="A5" t="s">
        <v>100</v>
      </c>
    </row>
    <row r="6" spans="1:1">
      <c r="A6" t="s">
        <v>102</v>
      </c>
    </row>
    <row r="7" spans="1:1">
      <c r="A7" t="s">
        <v>108</v>
      </c>
    </row>
    <row r="8" spans="1:1">
      <c r="A8" t="s">
        <v>73</v>
      </c>
    </row>
    <row r="9" spans="1:1">
      <c r="A9" t="s">
        <v>77</v>
      </c>
    </row>
    <row r="10" spans="1:1">
      <c r="A10" t="s">
        <v>85</v>
      </c>
    </row>
    <row r="11" spans="1:1">
      <c r="A11" t="s">
        <v>89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H12" sqref="H12"/>
    </sheetView>
  </sheetViews>
  <sheetFormatPr defaultColWidth="9" defaultRowHeight="16.8" outlineLevelRow="5"/>
  <cols>
    <col min="1" max="1" width="15.1538461538462" customWidth="1"/>
    <col min="2" max="2" width="17.6153846153846" customWidth="1"/>
    <col min="3" max="5" width="15.1538461538462" customWidth="1"/>
    <col min="6" max="6" width="6" customWidth="1"/>
    <col min="7" max="7" width="15.1538461538462" customWidth="1"/>
    <col min="8" max="8" width="53.9230769230769" customWidth="1"/>
    <col min="9" max="9" width="46.6923076923077" customWidth="1"/>
    <col min="10" max="10" width="51.5384615384615" customWidth="1"/>
  </cols>
  <sheetData>
    <row r="1" spans="1:10">
      <c r="A1" t="s">
        <v>94</v>
      </c>
      <c r="B1" t="s">
        <v>96</v>
      </c>
      <c r="C1" t="s">
        <v>98</v>
      </c>
      <c r="D1" t="s">
        <v>100</v>
      </c>
      <c r="E1" t="s">
        <v>102</v>
      </c>
      <c r="F1" t="s">
        <v>73</v>
      </c>
      <c r="G1" t="s">
        <v>109</v>
      </c>
      <c r="H1" t="s">
        <v>110</v>
      </c>
      <c r="I1" t="s">
        <v>111</v>
      </c>
      <c r="J1" t="s">
        <v>112</v>
      </c>
    </row>
    <row r="2" spans="1:10">
      <c r="A2" t="str">
        <f>[1]组合池!A2</f>
        <v>立秋前</v>
      </c>
      <c r="B2" t="str">
        <f>[1]组合池!B2</f>
        <v>所有女生</v>
      </c>
      <c r="C2" t="str">
        <f>[1]组合池!C2</f>
        <v>钱留不住</v>
      </c>
      <c r="D2" t="str">
        <f>[1]组合池!D2</f>
        <v>包是米库</v>
      </c>
      <c r="E2" t="str">
        <f>[1]组合池!E2</f>
        <v>把包整理一下</v>
      </c>
      <c r="F2" t="str">
        <f>[1]组合池!F2</f>
        <v>包里</v>
      </c>
      <c r="G2" t="str">
        <f>[1]组合池!G2</f>
        <v>状态越来越好</v>
      </c>
      <c r="H2" t="str">
        <f t="shared" ref="H2:H6" si="0">A2&amp;"，"&amp;B2&amp;"一定要注意这个细节"</f>
        <v>立秋前，所有女生一定要注意这个细节</v>
      </c>
      <c r="I2" t="str">
        <f t="shared" ref="I2:I6" si="1">"为什么"&amp;B2&amp;"总是"&amp;C2&amp;"？"</f>
        <v>为什么所有女生总是钱留不住？</v>
      </c>
      <c r="J2" t="str">
        <f t="shared" ref="J2:J6" si="2">"不是因为你"&amp;C2&amp;"，而是因为"&amp;D2</f>
        <v>不是因为你钱留不住，而是因为包是米库</v>
      </c>
    </row>
    <row r="3" spans="1:10">
      <c r="A3" t="str">
        <f>[1]组合池!A3</f>
        <v>三伏天</v>
      </c>
      <c r="B3" t="str">
        <f>[1]组合池!B3</f>
        <v>做生意的人</v>
      </c>
      <c r="C3" t="str">
        <f>[1]组合池!C3</f>
        <v>状态很散</v>
      </c>
      <c r="D3" t="str">
        <f>[1]组合池!D3</f>
        <v>味道影响状态</v>
      </c>
      <c r="E3" t="str">
        <f>[1]组合池!E3</f>
        <v>挂一个香片</v>
      </c>
      <c r="F3" t="str">
        <f>[1]组合池!F3</f>
        <v>衣柜</v>
      </c>
      <c r="G3" t="str">
        <f>[1]组合池!G3</f>
        <v>米米越来越多</v>
      </c>
      <c r="H3" t="str">
        <f t="shared" si="0"/>
        <v>三伏天，做生意的人一定要注意这个细节</v>
      </c>
      <c r="I3" t="str">
        <f t="shared" si="1"/>
        <v>为什么做生意的人总是状态很散？</v>
      </c>
      <c r="J3" t="str">
        <f t="shared" si="2"/>
        <v>不是因为你状态很散，而是因为味道影响状态</v>
      </c>
    </row>
    <row r="4" spans="1:10">
      <c r="A4" t="str">
        <f>[1]组合池!A4</f>
        <v>最近这段时间</v>
      </c>
      <c r="B4" t="str">
        <f>[1]组合池!B4</f>
        <v>家里有孩子的</v>
      </c>
      <c r="C4" t="str">
        <f>[1]组合池!C4</f>
        <v>家里有味道</v>
      </c>
      <c r="D4" t="str">
        <f>[1]组合池!D4</f>
        <v>旧物拖状态</v>
      </c>
      <c r="E4" t="str">
        <f>[1]组合池!E4</f>
        <v>把旧物清掉</v>
      </c>
      <c r="F4" t="str">
        <f>[1]组合池!F4</f>
        <v>玄关</v>
      </c>
      <c r="G4" t="str">
        <f>[1]组合池!G4</f>
        <v>整个人更轻松</v>
      </c>
      <c r="H4" t="str">
        <f t="shared" si="0"/>
        <v>最近这段时间，家里有孩子的一定要注意这个细节</v>
      </c>
      <c r="I4" t="str">
        <f t="shared" si="1"/>
        <v>为什么家里有孩子的总是家里有味道？</v>
      </c>
      <c r="J4" t="str">
        <f t="shared" si="2"/>
        <v>不是因为你家里有味道，而是因为旧物拖状态</v>
      </c>
    </row>
    <row r="5" spans="1:10">
      <c r="A5" t="str">
        <f>[1]组合池!A5</f>
        <v>如果你最近</v>
      </c>
      <c r="B5" t="str">
        <f>[1]组合池!B5</f>
        <v>经常出门的人</v>
      </c>
      <c r="C5" t="str">
        <f>[1]组合池!C5</f>
        <v>情绪容易烦躁</v>
      </c>
      <c r="D5" t="str">
        <f>[1]组合池!D5</f>
        <v>眼睛是心灯</v>
      </c>
      <c r="E5" t="str">
        <f>[1]组合池!E5</f>
        <v>出门前喷一下</v>
      </c>
      <c r="F5" t="str">
        <f>[1]组合池!F5</f>
        <v>车里</v>
      </c>
      <c r="G5" t="str">
        <f>[1]组合池!G5</f>
        <v>家里氛围变好</v>
      </c>
      <c r="H5" t="str">
        <f t="shared" si="0"/>
        <v>如果你最近，经常出门的人一定要注意这个细节</v>
      </c>
      <c r="I5" t="str">
        <f t="shared" si="1"/>
        <v>为什么经常出门的人总是情绪容易烦躁？</v>
      </c>
      <c r="J5" t="str">
        <f t="shared" si="2"/>
        <v>不是因为你情绪容易烦躁，而是因为眼睛是心灯</v>
      </c>
    </row>
    <row r="6" spans="1:10">
      <c r="A6" t="str">
        <f>[1]组合池!A6</f>
        <v>今年</v>
      </c>
      <c r="B6" t="str">
        <f>[1]组合池!B6</f>
        <v>状态不太好的人</v>
      </c>
      <c r="C6" t="str">
        <f>[1]组合池!C6</f>
        <v>眼睛干涩没神</v>
      </c>
      <c r="D6" t="str">
        <f>[1]组合池!D6</f>
        <v>环境影响人</v>
      </c>
      <c r="E6" t="str">
        <f>[1]组合池!E6</f>
        <v>把空间收纳好</v>
      </c>
      <c r="F6" t="str">
        <f>[1]组合池!F6</f>
        <v>床头</v>
      </c>
      <c r="G6" t="str">
        <f>[1]组合池!G6</f>
        <v>越来越顺</v>
      </c>
      <c r="H6" t="str">
        <f t="shared" si="0"/>
        <v>今年，状态不太好的人一定要注意这个细节</v>
      </c>
      <c r="I6" t="str">
        <f t="shared" si="1"/>
        <v>为什么状态不太好的人总是眼睛干涩没神？</v>
      </c>
      <c r="J6" t="str">
        <f t="shared" si="2"/>
        <v>不是因为你眼睛干涩没神，而是因为环境影响人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核心公式</vt:lpstr>
      <vt:lpstr>五大底层</vt:lpstr>
      <vt:lpstr>开头模板</vt:lpstr>
      <vt:lpstr>中段结构</vt:lpstr>
      <vt:lpstr>素材库</vt:lpstr>
      <vt:lpstr>骨架检查</vt:lpstr>
      <vt:lpstr>开头生成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方公子Fancy</cp:lastModifiedBy>
  <dcterms:created xsi:type="dcterms:W3CDTF">2026-03-20T00:02:00Z</dcterms:created>
  <dcterms:modified xsi:type="dcterms:W3CDTF">2026-04-02T10:48:47Z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CF9AC0C05290F36459B4BB69CE9105D6_43</vt:lpwstr>
  </property>
  <property fmtid="{D5CDD505-2E9C-101B-9397-08002B2CF9AE}" pid="3" name="KSOProductBuildVer">
    <vt:lpwstr>2052-7.3.1.8967</vt:lpwstr>
  </property>
</Properties>
</file>